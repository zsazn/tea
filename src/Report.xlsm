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1340" windowHeight="7050"/>
  </bookViews>
  <sheets>
    <sheet name="Report" sheetId="1" r:id="rId1"/>
  </sheets>
  <externalReferences>
    <externalReference r:id="rId2"/>
  </externalReferences>
  <definedNames>
    <definedName name="_xlnm.Print_Area" localSheetId="0">Report!$A$1:$H$45</definedName>
  </definedNames>
  <calcPr calcId="145621"/>
</workbook>
</file>

<file path=xl/calcChain.xml><?xml version="1.0" encoding="utf-8"?>
<calcChain xmlns="http://schemas.openxmlformats.org/spreadsheetml/2006/main">
  <c r="H14" i="1" l="1"/>
  <c r="H13" i="1"/>
  <c r="H12" i="1"/>
  <c r="H11" i="1"/>
  <c r="G14" i="1"/>
  <c r="G13" i="1"/>
  <c r="G12" i="1"/>
  <c r="G11" i="1"/>
  <c r="F14" i="1"/>
  <c r="F13" i="1"/>
  <c r="F12" i="1"/>
  <c r="F11" i="1"/>
  <c r="E14" i="1"/>
  <c r="E13" i="1"/>
  <c r="E12" i="1"/>
  <c r="E11" i="1"/>
  <c r="H9" i="1"/>
  <c r="H8" i="1"/>
  <c r="H7" i="1"/>
  <c r="H6" i="1"/>
  <c r="G9" i="1"/>
  <c r="G8" i="1"/>
  <c r="G7" i="1"/>
  <c r="G6" i="1"/>
  <c r="F9" i="1"/>
  <c r="F8" i="1"/>
  <c r="F7" i="1"/>
  <c r="F6" i="1"/>
  <c r="E9" i="1"/>
  <c r="E8" i="1"/>
  <c r="E7" i="1"/>
  <c r="E6" i="1"/>
  <c r="D14" i="1"/>
  <c r="D13" i="1"/>
  <c r="D12" i="1"/>
  <c r="D11" i="1"/>
  <c r="D9" i="1"/>
  <c r="D8" i="1"/>
  <c r="D7" i="1"/>
  <c r="D6" i="1"/>
  <c r="H4" i="1"/>
  <c r="G4" i="1"/>
  <c r="F4" i="1"/>
  <c r="E4" i="1"/>
  <c r="D4" i="1"/>
  <c r="B4" i="1"/>
  <c r="A33" i="1" s="1"/>
  <c r="B3" i="1"/>
  <c r="B2" i="1"/>
  <c r="A18" i="1" l="1"/>
</calcChain>
</file>

<file path=xl/sharedStrings.xml><?xml version="1.0" encoding="utf-8"?>
<sst xmlns="http://schemas.openxmlformats.org/spreadsheetml/2006/main" count="21" uniqueCount="17">
  <si>
    <t>Instructor Evaluation Summary</t>
  </si>
  <si>
    <t>Term:</t>
  </si>
  <si>
    <t>Course:</t>
  </si>
  <si>
    <t>Instructor:</t>
  </si>
  <si>
    <t>Survey Respond</t>
  </si>
  <si>
    <t>Response Rate</t>
  </si>
  <si>
    <t>Course Core</t>
  </si>
  <si>
    <t>Instructor Core</t>
  </si>
  <si>
    <t>Department</t>
  </si>
  <si>
    <t>Class 
Enroll</t>
  </si>
  <si>
    <t>100-200:</t>
  </si>
  <si>
    <t>300-400:</t>
  </si>
  <si>
    <t>500-600:</t>
  </si>
  <si>
    <t>Total:</t>
  </si>
  <si>
    <t>College</t>
  </si>
  <si>
    <t>Historical Trends (Instructor/Course)</t>
  </si>
  <si>
    <t>Historical Trends(Instructor/Department/College)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</si>
</sst>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0" fillId="2" borderId="0" xfId="0" applyFill="1" applyAlignment="1">
      <alignment vertical="center"/>
    </xf>
    <xf numFmtId="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Report!$A$18</c:f>
          <c:strCache>
            <c:ptCount val="1"/>
            <c:pt idx="0">
              <c:v>James Mohler - TECH646</c:v>
            </c:pt>
          </c:strCache>
        </c:strRef>
      </c:tx>
      <c:layout>
        <c:manualLayout>
          <c:xMode val="edge"/>
          <c:yMode val="edge"/>
          <c:x val="0.40083344883933725"/>
          <c:y val="1.925391095066185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28346456692912"/>
          <c:y val="0.14198971512166786"/>
          <c:w val="0.80400627341265929"/>
          <c:h val="0.58011730483148094"/>
        </c:manualLayout>
      </c:layout>
      <c:lineChart>
        <c:grouping val="standard"/>
        <c:varyColors val="0"/>
        <c:ser>
          <c:idx val="0"/>
          <c:order val="0"/>
          <c:tx>
            <c:strRef>
              <c:f>[1]data_output!$H$1</c:f>
              <c:strCache>
                <c:ptCount val="1"/>
                <c:pt idx="0">
                  <c:v>Course</c:v>
                </c:pt>
              </c:strCache>
            </c:strRef>
          </c:tx>
          <c:spPr>
            <a:ln w="9525"/>
          </c:spPr>
          <c:marker>
            <c:spPr>
              <a:ln w="9525"/>
            </c:spPr>
          </c:marker>
          <c:cat>
            <c:strRef>
              <c:f>[1]data_output!$G$2:$G$14</c:f>
              <c:strCache>
                <c:ptCount val="13"/>
                <c:pt idx="0">
                  <c:v>SP09</c:v>
                </c:pt>
                <c:pt idx="1">
                  <c:v>SU09</c:v>
                </c:pt>
                <c:pt idx="2">
                  <c:v>FA09</c:v>
                </c:pt>
                <c:pt idx="3">
                  <c:v>SP10</c:v>
                </c:pt>
                <c:pt idx="4">
                  <c:v>SU10</c:v>
                </c:pt>
                <c:pt idx="5">
                  <c:v>FA10</c:v>
                </c:pt>
                <c:pt idx="6">
                  <c:v>SP11</c:v>
                </c:pt>
                <c:pt idx="7">
                  <c:v>SU11</c:v>
                </c:pt>
                <c:pt idx="8">
                  <c:v>FA11</c:v>
                </c:pt>
                <c:pt idx="9">
                  <c:v>SP12</c:v>
                </c:pt>
                <c:pt idx="10">
                  <c:v>SU12</c:v>
                </c:pt>
                <c:pt idx="11">
                  <c:v>FA12</c:v>
                </c:pt>
                <c:pt idx="12">
                  <c:v>SP13</c:v>
                </c:pt>
              </c:strCache>
            </c:strRef>
          </c:cat>
          <c:val>
            <c:numRef>
              <c:f>[1]data_output!$H$2:$H$14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4.82</c:v>
                </c:pt>
                <c:pt idx="5">
                  <c:v>4.68</c:v>
                </c:pt>
                <c:pt idx="6">
                  <c:v>4.68</c:v>
                </c:pt>
                <c:pt idx="7">
                  <c:v>4.62</c:v>
                </c:pt>
                <c:pt idx="8">
                  <c:v>4.6399999999999997</c:v>
                </c:pt>
                <c:pt idx="9">
                  <c:v>4.71</c:v>
                </c:pt>
                <c:pt idx="10">
                  <c:v>4.67</c:v>
                </c:pt>
                <c:pt idx="11">
                  <c:v>4.5999999999999996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[1]data_output!$I$1</c:f>
              <c:strCache>
                <c:ptCount val="1"/>
                <c:pt idx="0">
                  <c:v>Instructor</c:v>
                </c:pt>
              </c:strCache>
            </c:strRef>
          </c:tx>
          <c:spPr>
            <a:ln w="9525"/>
          </c:spPr>
          <c:marker>
            <c:spPr>
              <a:ln w="9525"/>
            </c:spPr>
          </c:marker>
          <c:cat>
            <c:strRef>
              <c:f>[1]data_output!$G$2:$G$14</c:f>
              <c:strCache>
                <c:ptCount val="13"/>
                <c:pt idx="0">
                  <c:v>SP09</c:v>
                </c:pt>
                <c:pt idx="1">
                  <c:v>SU09</c:v>
                </c:pt>
                <c:pt idx="2">
                  <c:v>FA09</c:v>
                </c:pt>
                <c:pt idx="3">
                  <c:v>SP10</c:v>
                </c:pt>
                <c:pt idx="4">
                  <c:v>SU10</c:v>
                </c:pt>
                <c:pt idx="5">
                  <c:v>FA10</c:v>
                </c:pt>
                <c:pt idx="6">
                  <c:v>SP11</c:v>
                </c:pt>
                <c:pt idx="7">
                  <c:v>SU11</c:v>
                </c:pt>
                <c:pt idx="8">
                  <c:v>FA11</c:v>
                </c:pt>
                <c:pt idx="9">
                  <c:v>SP12</c:v>
                </c:pt>
                <c:pt idx="10">
                  <c:v>SU12</c:v>
                </c:pt>
                <c:pt idx="11">
                  <c:v>FA12</c:v>
                </c:pt>
                <c:pt idx="12">
                  <c:v>SP13</c:v>
                </c:pt>
              </c:strCache>
            </c:strRef>
          </c:cat>
          <c:val>
            <c:numRef>
              <c:f>[1]data_output!$I$2:$I$14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4.74</c:v>
                </c:pt>
                <c:pt idx="6">
                  <c:v>4.76</c:v>
                </c:pt>
                <c:pt idx="7">
                  <c:v>4.8099999999999996</c:v>
                </c:pt>
                <c:pt idx="8">
                  <c:v>4.82</c:v>
                </c:pt>
                <c:pt idx="9">
                  <c:v>4.8499999999999996</c:v>
                </c:pt>
                <c:pt idx="10">
                  <c:v>4.92</c:v>
                </c:pt>
                <c:pt idx="11">
                  <c:v>4.82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73184"/>
        <c:axId val="86175744"/>
      </c:lineChart>
      <c:catAx>
        <c:axId val="8617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Semester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175744"/>
        <c:crosses val="autoZero"/>
        <c:auto val="1"/>
        <c:lblAlgn val="ctr"/>
        <c:lblOffset val="100"/>
        <c:noMultiLvlLbl val="0"/>
      </c:catAx>
      <c:valAx>
        <c:axId val="86175744"/>
        <c:scaling>
          <c:orientation val="minMax"/>
          <c:max val="5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Rating</a:t>
                </a:r>
              </a:p>
            </c:rich>
          </c:tx>
          <c:layout>
            <c:manualLayout>
              <c:xMode val="edge"/>
              <c:yMode val="edge"/>
              <c:x val="4.8300462442194728E-2"/>
              <c:y val="0.1147996571451780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6173184"/>
        <c:crosses val="autoZero"/>
        <c:crossBetween val="between"/>
        <c:majorUnit val="1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Report!$A$33</c:f>
          <c:strCache>
            <c:ptCount val="1"/>
            <c:pt idx="0">
              <c:v>James Mohler  vs. CGT Departmental vs. College Instructor Ratings</c:v>
            </c:pt>
          </c:strCache>
        </c:strRef>
      </c:tx>
      <c:overlay val="0"/>
      <c:txPr>
        <a:bodyPr/>
        <a:lstStyle/>
        <a:p>
          <a:pPr>
            <a:defRPr sz="11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0750333460612"/>
          <c:y val="0.16025092982965791"/>
          <c:w val="0.78793471755390332"/>
          <c:h val="0.46066606057778131"/>
        </c:manualLayout>
      </c:layout>
      <c:lineChart>
        <c:grouping val="standard"/>
        <c:varyColors val="0"/>
        <c:ser>
          <c:idx val="0"/>
          <c:order val="0"/>
          <c:tx>
            <c:strRef>
              <c:f>[1]data_output!$I$1</c:f>
              <c:strCache>
                <c:ptCount val="1"/>
                <c:pt idx="0">
                  <c:v>Instructor</c:v>
                </c:pt>
              </c:strCache>
            </c:strRef>
          </c:tx>
          <c:spPr>
            <a:ln w="9525"/>
          </c:spPr>
          <c:marker>
            <c:spPr>
              <a:ln w="9525"/>
            </c:spPr>
          </c:marker>
          <c:cat>
            <c:strRef>
              <c:f>[1]data_output!$G$2:$G$14</c:f>
              <c:strCache>
                <c:ptCount val="13"/>
                <c:pt idx="0">
                  <c:v>SP09</c:v>
                </c:pt>
                <c:pt idx="1">
                  <c:v>SU09</c:v>
                </c:pt>
                <c:pt idx="2">
                  <c:v>FA09</c:v>
                </c:pt>
                <c:pt idx="3">
                  <c:v>SP10</c:v>
                </c:pt>
                <c:pt idx="4">
                  <c:v>SU10</c:v>
                </c:pt>
                <c:pt idx="5">
                  <c:v>FA10</c:v>
                </c:pt>
                <c:pt idx="6">
                  <c:v>SP11</c:v>
                </c:pt>
                <c:pt idx="7">
                  <c:v>SU11</c:v>
                </c:pt>
                <c:pt idx="8">
                  <c:v>FA11</c:v>
                </c:pt>
                <c:pt idx="9">
                  <c:v>SP12</c:v>
                </c:pt>
                <c:pt idx="10">
                  <c:v>SU12</c:v>
                </c:pt>
                <c:pt idx="11">
                  <c:v>FA12</c:v>
                </c:pt>
                <c:pt idx="12">
                  <c:v>SP13</c:v>
                </c:pt>
              </c:strCache>
            </c:strRef>
          </c:cat>
          <c:val>
            <c:numRef>
              <c:f>[1]data_output!$I$2:$I$14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4.74</c:v>
                </c:pt>
                <c:pt idx="6">
                  <c:v>4.76</c:v>
                </c:pt>
                <c:pt idx="7">
                  <c:v>4.8099999999999996</c:v>
                </c:pt>
                <c:pt idx="8">
                  <c:v>4.82</c:v>
                </c:pt>
                <c:pt idx="9">
                  <c:v>4.8499999999999996</c:v>
                </c:pt>
                <c:pt idx="10">
                  <c:v>4.92</c:v>
                </c:pt>
                <c:pt idx="11">
                  <c:v>4.82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[1]data_output!$J$1</c:f>
              <c:strCache>
                <c:ptCount val="1"/>
                <c:pt idx="0">
                  <c:v>Dept Ave.</c:v>
                </c:pt>
              </c:strCache>
            </c:strRef>
          </c:tx>
          <c:spPr>
            <a:ln w="9525"/>
          </c:spPr>
          <c:marker>
            <c:spPr>
              <a:ln w="9525"/>
            </c:spPr>
          </c:marker>
          <c:cat>
            <c:strRef>
              <c:f>[1]data_output!$G$2:$G$14</c:f>
              <c:strCache>
                <c:ptCount val="13"/>
                <c:pt idx="0">
                  <c:v>SP09</c:v>
                </c:pt>
                <c:pt idx="1">
                  <c:v>SU09</c:v>
                </c:pt>
                <c:pt idx="2">
                  <c:v>FA09</c:v>
                </c:pt>
                <c:pt idx="3">
                  <c:v>SP10</c:v>
                </c:pt>
                <c:pt idx="4">
                  <c:v>SU10</c:v>
                </c:pt>
                <c:pt idx="5">
                  <c:v>FA10</c:v>
                </c:pt>
                <c:pt idx="6">
                  <c:v>SP11</c:v>
                </c:pt>
                <c:pt idx="7">
                  <c:v>SU11</c:v>
                </c:pt>
                <c:pt idx="8">
                  <c:v>FA11</c:v>
                </c:pt>
                <c:pt idx="9">
                  <c:v>SP12</c:v>
                </c:pt>
                <c:pt idx="10">
                  <c:v>SU12</c:v>
                </c:pt>
                <c:pt idx="11">
                  <c:v>FA12</c:v>
                </c:pt>
                <c:pt idx="12">
                  <c:v>SP13</c:v>
                </c:pt>
              </c:strCache>
            </c:strRef>
          </c:cat>
          <c:val>
            <c:numRef>
              <c:f>[1]data_output!$J$2:$J$14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4.09</c:v>
                </c:pt>
                <c:pt idx="4">
                  <c:v>4.53</c:v>
                </c:pt>
                <c:pt idx="5">
                  <c:v>4.04</c:v>
                </c:pt>
                <c:pt idx="6">
                  <c:v>0</c:v>
                </c:pt>
                <c:pt idx="7">
                  <c:v>3.78</c:v>
                </c:pt>
                <c:pt idx="8">
                  <c:v>4.03</c:v>
                </c:pt>
                <c:pt idx="9">
                  <c:v>4.12</c:v>
                </c:pt>
                <c:pt idx="10">
                  <c:v>4.8</c:v>
                </c:pt>
                <c:pt idx="11">
                  <c:v>3.48</c:v>
                </c:pt>
                <c:pt idx="12">
                  <c:v>4.1100000000000003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[1]data_output!$K$1</c:f>
              <c:strCache>
                <c:ptCount val="1"/>
                <c:pt idx="0">
                  <c:v>College Ave.</c:v>
                </c:pt>
              </c:strCache>
            </c:strRef>
          </c:tx>
          <c:spPr>
            <a:ln w="9525"/>
          </c:spPr>
          <c:marker>
            <c:spPr>
              <a:ln w="9525"/>
            </c:spPr>
          </c:marker>
          <c:cat>
            <c:strRef>
              <c:f>[1]data_output!$G$2:$G$14</c:f>
              <c:strCache>
                <c:ptCount val="13"/>
                <c:pt idx="0">
                  <c:v>SP09</c:v>
                </c:pt>
                <c:pt idx="1">
                  <c:v>SU09</c:v>
                </c:pt>
                <c:pt idx="2">
                  <c:v>FA09</c:v>
                </c:pt>
                <c:pt idx="3">
                  <c:v>SP10</c:v>
                </c:pt>
                <c:pt idx="4">
                  <c:v>SU10</c:v>
                </c:pt>
                <c:pt idx="5">
                  <c:v>FA10</c:v>
                </c:pt>
                <c:pt idx="6">
                  <c:v>SP11</c:v>
                </c:pt>
                <c:pt idx="7">
                  <c:v>SU11</c:v>
                </c:pt>
                <c:pt idx="8">
                  <c:v>FA11</c:v>
                </c:pt>
                <c:pt idx="9">
                  <c:v>SP12</c:v>
                </c:pt>
                <c:pt idx="10">
                  <c:v>SU12</c:v>
                </c:pt>
                <c:pt idx="11">
                  <c:v>FA12</c:v>
                </c:pt>
                <c:pt idx="12">
                  <c:v>SP13</c:v>
                </c:pt>
              </c:strCache>
            </c:strRef>
          </c:cat>
          <c:val>
            <c:numRef>
              <c:f>[1]data_output!$K$2:$K$14</c:f>
              <c:numCache>
                <c:formatCode>General</c:formatCode>
                <c:ptCount val="13"/>
                <c:pt idx="0">
                  <c:v>4.28</c:v>
                </c:pt>
                <c:pt idx="1">
                  <c:v>4.45</c:v>
                </c:pt>
                <c:pt idx="2">
                  <c:v>4.0999999999999996</c:v>
                </c:pt>
                <c:pt idx="3">
                  <c:v>4.1500000000000004</c:v>
                </c:pt>
                <c:pt idx="4">
                  <c:v>4.5199999999999996</c:v>
                </c:pt>
                <c:pt idx="5">
                  <c:v>4.1500000000000004</c:v>
                </c:pt>
                <c:pt idx="6">
                  <c:v>4.22</c:v>
                </c:pt>
                <c:pt idx="7">
                  <c:v>4.37</c:v>
                </c:pt>
                <c:pt idx="8">
                  <c:v>4.18</c:v>
                </c:pt>
                <c:pt idx="9">
                  <c:v>4.17</c:v>
                </c:pt>
                <c:pt idx="10">
                  <c:v>4.6900000000000004</c:v>
                </c:pt>
                <c:pt idx="11">
                  <c:v>4.18</c:v>
                </c:pt>
                <c:pt idx="12">
                  <c:v>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99744"/>
        <c:axId val="87610496"/>
      </c:lineChart>
      <c:catAx>
        <c:axId val="87599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Semester</a:t>
                </a:r>
              </a:p>
            </c:rich>
          </c:tx>
          <c:layout>
            <c:manualLayout>
              <c:xMode val="edge"/>
              <c:yMode val="edge"/>
              <c:x val="0.51844704272145858"/>
              <c:y val="0.899808690652333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7610496"/>
        <c:crosses val="autoZero"/>
        <c:auto val="1"/>
        <c:lblAlgn val="ctr"/>
        <c:lblOffset val="100"/>
        <c:noMultiLvlLbl val="0"/>
      </c:catAx>
      <c:valAx>
        <c:axId val="87610496"/>
        <c:scaling>
          <c:orientation val="minMax"/>
          <c:max val="5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Rating</a:t>
                </a:r>
              </a:p>
            </c:rich>
          </c:tx>
          <c:layout>
            <c:manualLayout>
              <c:xMode val="edge"/>
              <c:yMode val="edge"/>
              <c:x val="5.8870235613276693E-2"/>
              <c:y val="0.1349088383112396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87599744"/>
        <c:crosses val="autoZero"/>
        <c:crossBetween val="between"/>
        <c:majorUnit val="1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/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9524</xdr:rowOff>
    </xdr:from>
    <xdr:to>
      <xdr:col>8</xdr:col>
      <xdr:colOff>0</xdr:colOff>
      <xdr:row>29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10317</xdr:colOff>
      <xdr:row>31</xdr:row>
      <xdr:rowOff>1587</xdr:rowOff>
    </xdr:from>
    <xdr:to>
      <xdr:col>8</xdr:col>
      <xdr:colOff>0</xdr:colOff>
      <xdr:row>44</xdr:row>
      <xdr:rowOff>182563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output"/>
    </sheetNames>
    <sheetDataSet>
      <sheetData sheetId="0">
        <row r="1">
          <cell r="A1" t="str">
            <v>Fall 2012</v>
          </cell>
          <cell r="B1">
            <v>1000</v>
          </cell>
          <cell r="C1">
            <v>818</v>
          </cell>
          <cell r="D1">
            <v>0.81799999999999995</v>
          </cell>
          <cell r="E1">
            <v>3.76</v>
          </cell>
          <cell r="F1">
            <v>3.46</v>
          </cell>
          <cell r="H1" t="str">
            <v>Course</v>
          </cell>
          <cell r="I1" t="str">
            <v>Instructor</v>
          </cell>
          <cell r="J1" t="str">
            <v>Dept Ave.</v>
          </cell>
          <cell r="K1" t="str">
            <v>College Ave.</v>
          </cell>
        </row>
        <row r="2">
          <cell r="A2" t="str">
            <v>TECH646</v>
          </cell>
          <cell r="B2">
            <v>1000</v>
          </cell>
          <cell r="C2">
            <v>9</v>
          </cell>
          <cell r="D2">
            <v>8.9999999999999993E-3</v>
          </cell>
          <cell r="E2">
            <v>4</v>
          </cell>
          <cell r="F2">
            <v>4</v>
          </cell>
          <cell r="G2" t="str">
            <v>SP09</v>
          </cell>
          <cell r="H2">
            <v>0</v>
          </cell>
          <cell r="I2">
            <v>0</v>
          </cell>
          <cell r="J2">
            <v>0</v>
          </cell>
          <cell r="K2">
            <v>4.28</v>
          </cell>
        </row>
        <row r="3">
          <cell r="A3" t="str">
            <v>James Mohler</v>
          </cell>
          <cell r="B3">
            <v>1000</v>
          </cell>
          <cell r="C3">
            <v>10</v>
          </cell>
          <cell r="D3">
            <v>0.01</v>
          </cell>
          <cell r="E3">
            <v>3.4</v>
          </cell>
          <cell r="F3">
            <v>4.2</v>
          </cell>
          <cell r="G3" t="str">
            <v>SU09</v>
          </cell>
          <cell r="H3">
            <v>0</v>
          </cell>
          <cell r="I3">
            <v>0</v>
          </cell>
          <cell r="J3">
            <v>0</v>
          </cell>
          <cell r="K3">
            <v>4.45</v>
          </cell>
        </row>
        <row r="4">
          <cell r="A4">
            <v>51</v>
          </cell>
          <cell r="B4">
            <v>3000</v>
          </cell>
          <cell r="C4">
            <v>837</v>
          </cell>
          <cell r="D4">
            <v>0.27900000000000003</v>
          </cell>
          <cell r="E4">
            <v>3.75</v>
          </cell>
          <cell r="F4">
            <v>3.48</v>
          </cell>
          <cell r="G4" t="str">
            <v>FA09</v>
          </cell>
          <cell r="H4">
            <v>0</v>
          </cell>
          <cell r="I4">
            <v>0</v>
          </cell>
          <cell r="J4">
            <v>0</v>
          </cell>
          <cell r="K4">
            <v>4.0999999999999996</v>
          </cell>
        </row>
        <row r="5">
          <cell r="A5">
            <v>50</v>
          </cell>
          <cell r="B5">
            <v>10000</v>
          </cell>
          <cell r="C5">
            <v>7402</v>
          </cell>
          <cell r="D5">
            <v>0.74019999999999997</v>
          </cell>
          <cell r="E5">
            <v>3.94</v>
          </cell>
          <cell r="F5">
            <v>4.1100000000000003</v>
          </cell>
          <cell r="G5" t="str">
            <v>SP10</v>
          </cell>
          <cell r="H5">
            <v>0</v>
          </cell>
          <cell r="I5">
            <v>0</v>
          </cell>
          <cell r="J5">
            <v>4.09</v>
          </cell>
          <cell r="K5">
            <v>4.1500000000000004</v>
          </cell>
        </row>
        <row r="6">
          <cell r="A6">
            <v>0.98040000000000005</v>
          </cell>
          <cell r="B6">
            <v>10000</v>
          </cell>
          <cell r="C6">
            <v>4623</v>
          </cell>
          <cell r="D6">
            <v>0.46229999999999999</v>
          </cell>
          <cell r="E6">
            <v>4.13</v>
          </cell>
          <cell r="F6">
            <v>4.24</v>
          </cell>
          <cell r="G6" t="str">
            <v>SU10</v>
          </cell>
          <cell r="H6">
            <v>4.82</v>
          </cell>
          <cell r="I6">
            <v>5</v>
          </cell>
          <cell r="J6">
            <v>4.53</v>
          </cell>
          <cell r="K6">
            <v>4.5199999999999996</v>
          </cell>
        </row>
        <row r="7">
          <cell r="A7">
            <v>4.5999999999999996</v>
          </cell>
          <cell r="B7">
            <v>10000</v>
          </cell>
          <cell r="C7">
            <v>785</v>
          </cell>
          <cell r="D7">
            <v>7.85E-2</v>
          </cell>
          <cell r="E7">
            <v>4.3099999999999996</v>
          </cell>
          <cell r="F7">
            <v>4.45</v>
          </cell>
          <cell r="G7" t="str">
            <v>FA10</v>
          </cell>
          <cell r="H7">
            <v>4.68</v>
          </cell>
          <cell r="I7">
            <v>4.74</v>
          </cell>
          <cell r="J7">
            <v>4.04</v>
          </cell>
          <cell r="K7">
            <v>4.1500000000000004</v>
          </cell>
        </row>
        <row r="8">
          <cell r="A8">
            <v>4.82</v>
          </cell>
          <cell r="B8">
            <v>30000</v>
          </cell>
          <cell r="C8">
            <v>12914</v>
          </cell>
          <cell r="D8">
            <v>0.43049999999999999</v>
          </cell>
          <cell r="E8">
            <v>4.03</v>
          </cell>
          <cell r="F8">
            <v>4.18</v>
          </cell>
          <cell r="G8" t="str">
            <v>SP11</v>
          </cell>
          <cell r="H8">
            <v>4.68</v>
          </cell>
          <cell r="I8">
            <v>4.76</v>
          </cell>
          <cell r="J8">
            <v>0</v>
          </cell>
          <cell r="K8">
            <v>4.22</v>
          </cell>
        </row>
        <row r="9">
          <cell r="A9" t="str">
            <v>CGT</v>
          </cell>
          <cell r="G9" t="str">
            <v>SU11</v>
          </cell>
          <cell r="H9">
            <v>4.62</v>
          </cell>
          <cell r="I9">
            <v>4.8099999999999996</v>
          </cell>
          <cell r="J9">
            <v>3.78</v>
          </cell>
          <cell r="K9">
            <v>4.37</v>
          </cell>
        </row>
        <row r="10">
          <cell r="G10" t="str">
            <v>FA11</v>
          </cell>
          <cell r="H10">
            <v>4.6399999999999997</v>
          </cell>
          <cell r="I10">
            <v>4.82</v>
          </cell>
          <cell r="J10">
            <v>4.03</v>
          </cell>
          <cell r="K10">
            <v>4.18</v>
          </cell>
        </row>
        <row r="11">
          <cell r="G11" t="str">
            <v>SP12</v>
          </cell>
          <cell r="H11">
            <v>4.71</v>
          </cell>
          <cell r="I11">
            <v>4.8499999999999996</v>
          </cell>
          <cell r="J11">
            <v>4.12</v>
          </cell>
          <cell r="K11">
            <v>4.17</v>
          </cell>
        </row>
        <row r="12">
          <cell r="G12" t="str">
            <v>SU12</v>
          </cell>
          <cell r="H12">
            <v>4.67</v>
          </cell>
          <cell r="I12">
            <v>4.92</v>
          </cell>
          <cell r="J12">
            <v>4.8</v>
          </cell>
          <cell r="K12">
            <v>4.6900000000000004</v>
          </cell>
        </row>
        <row r="13">
          <cell r="G13" t="str">
            <v>FA12</v>
          </cell>
          <cell r="H13">
            <v>4.5999999999999996</v>
          </cell>
          <cell r="I13">
            <v>4.82</v>
          </cell>
          <cell r="J13">
            <v>3.48</v>
          </cell>
          <cell r="K13">
            <v>4.18</v>
          </cell>
        </row>
        <row r="14">
          <cell r="G14" t="str">
            <v>SP13</v>
          </cell>
          <cell r="H14">
            <v>0</v>
          </cell>
          <cell r="I14">
            <v>0</v>
          </cell>
          <cell r="J14">
            <v>4.1100000000000003</v>
          </cell>
          <cell r="K14">
            <v>4.17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3"/>
  <sheetViews>
    <sheetView tabSelected="1" zoomScaleNormal="100" zoomScaleSheetLayoutView="100" zoomScalePageLayoutView="60" workbookViewId="0">
      <selection activeCell="B2" sqref="B2:C2"/>
    </sheetView>
  </sheetViews>
  <sheetFormatPr defaultRowHeight="15" x14ac:dyDescent="0.25"/>
  <cols>
    <col min="1" max="1" width="12.42578125" customWidth="1"/>
    <col min="2" max="8" width="10.28515625" customWidth="1"/>
    <col min="10" max="10" width="9.28515625" customWidth="1"/>
  </cols>
  <sheetData>
    <row r="1" spans="1:8" ht="20.25" customHeight="1" x14ac:dyDescent="0.25">
      <c r="A1" s="11" t="s">
        <v>0</v>
      </c>
      <c r="B1" s="11"/>
      <c r="C1" s="11"/>
      <c r="D1" s="11"/>
      <c r="E1" s="11"/>
      <c r="F1" s="11"/>
      <c r="G1" s="11"/>
      <c r="H1" s="11"/>
    </row>
    <row r="2" spans="1:8" x14ac:dyDescent="0.25">
      <c r="A2" s="3" t="s">
        <v>1</v>
      </c>
      <c r="B2" s="12" t="str">
        <f>[1]data_output!$A$1</f>
        <v>Fall 2012</v>
      </c>
      <c r="C2" s="12"/>
      <c r="D2" s="13" t="s">
        <v>9</v>
      </c>
      <c r="E2" s="13" t="s">
        <v>4</v>
      </c>
      <c r="F2" s="13" t="s">
        <v>5</v>
      </c>
      <c r="G2" s="13" t="s">
        <v>6</v>
      </c>
      <c r="H2" s="13" t="s">
        <v>7</v>
      </c>
    </row>
    <row r="3" spans="1:8" x14ac:dyDescent="0.25">
      <c r="A3" s="3" t="s">
        <v>2</v>
      </c>
      <c r="B3" s="12" t="str">
        <f>[1]data_output!$A$2</f>
        <v>TECH646</v>
      </c>
      <c r="C3" s="12"/>
      <c r="D3" s="13"/>
      <c r="E3" s="13"/>
      <c r="F3" s="13"/>
      <c r="G3" s="13"/>
      <c r="H3" s="13"/>
    </row>
    <row r="4" spans="1:8" x14ac:dyDescent="0.25">
      <c r="A4" s="3" t="s">
        <v>3</v>
      </c>
      <c r="B4" s="12" t="str">
        <f>[1]data_output!$A$3</f>
        <v>James Mohler</v>
      </c>
      <c r="C4" s="12"/>
      <c r="D4" s="2">
        <f>[1]data_output!$A$4</f>
        <v>51</v>
      </c>
      <c r="E4" s="2">
        <f>[1]data_output!$A$5</f>
        <v>50</v>
      </c>
      <c r="F4" s="7">
        <f>[1]data_output!$A$6</f>
        <v>0.98040000000000005</v>
      </c>
      <c r="G4" s="9">
        <f>[1]data_output!$A$7</f>
        <v>4.5999999999999996</v>
      </c>
      <c r="H4" s="9">
        <f>[1]data_output!$A$8</f>
        <v>4.82</v>
      </c>
    </row>
    <row r="5" spans="1:8" ht="20.25" customHeight="1" x14ac:dyDescent="0.25">
      <c r="A5" s="5" t="s">
        <v>8</v>
      </c>
      <c r="B5" s="1"/>
      <c r="C5" s="1"/>
      <c r="D5" s="1"/>
      <c r="E5" s="1"/>
      <c r="F5" s="1"/>
      <c r="G5" s="1"/>
      <c r="H5" s="1"/>
    </row>
    <row r="6" spans="1:8" x14ac:dyDescent="0.25">
      <c r="C6" s="4" t="s">
        <v>10</v>
      </c>
      <c r="D6" s="6">
        <f>[1]data_output!$B$1</f>
        <v>1000</v>
      </c>
      <c r="E6" s="6">
        <f>[1]data_output!$C$1</f>
        <v>818</v>
      </c>
      <c r="F6" s="7">
        <f>[1]data_output!$D$1</f>
        <v>0.81799999999999995</v>
      </c>
      <c r="G6" s="8">
        <f>[1]data_output!$E$1</f>
        <v>3.76</v>
      </c>
      <c r="H6" s="8">
        <f>[1]data_output!$F$1</f>
        <v>3.46</v>
      </c>
    </row>
    <row r="7" spans="1:8" x14ac:dyDescent="0.25">
      <c r="C7" s="4" t="s">
        <v>11</v>
      </c>
      <c r="D7" s="6">
        <f>[1]data_output!$B$2</f>
        <v>1000</v>
      </c>
      <c r="E7" s="6">
        <f>[1]data_output!$C$2</f>
        <v>9</v>
      </c>
      <c r="F7" s="7">
        <f>[1]data_output!$D$2</f>
        <v>8.9999999999999993E-3</v>
      </c>
      <c r="G7" s="8">
        <f>[1]data_output!$E$2</f>
        <v>4</v>
      </c>
      <c r="H7" s="8">
        <f>[1]data_output!$F$2</f>
        <v>4</v>
      </c>
    </row>
    <row r="8" spans="1:8" x14ac:dyDescent="0.25">
      <c r="C8" s="4" t="s">
        <v>12</v>
      </c>
      <c r="D8" s="6">
        <f>[1]data_output!$B$3</f>
        <v>1000</v>
      </c>
      <c r="E8" s="6">
        <f>[1]data_output!$C$3</f>
        <v>10</v>
      </c>
      <c r="F8" s="7">
        <f>[1]data_output!$D$3</f>
        <v>0.01</v>
      </c>
      <c r="G8" s="8">
        <f>[1]data_output!$E$3</f>
        <v>3.4</v>
      </c>
      <c r="H8" s="8">
        <f>[1]data_output!$F$3</f>
        <v>4.2</v>
      </c>
    </row>
    <row r="9" spans="1:8" x14ac:dyDescent="0.25">
      <c r="C9" s="4" t="s">
        <v>13</v>
      </c>
      <c r="D9" s="6">
        <f>[1]data_output!$B$4</f>
        <v>3000</v>
      </c>
      <c r="E9" s="6">
        <f>[1]data_output!$C$4</f>
        <v>837</v>
      </c>
      <c r="F9" s="7">
        <f>[1]data_output!$D$4</f>
        <v>0.27900000000000003</v>
      </c>
      <c r="G9" s="8">
        <f>[1]data_output!$E$4</f>
        <v>3.75</v>
      </c>
      <c r="H9" s="8">
        <f>[1]data_output!$F$4</f>
        <v>3.48</v>
      </c>
    </row>
    <row r="10" spans="1:8" ht="20.25" customHeight="1" x14ac:dyDescent="0.25">
      <c r="A10" s="5" t="s">
        <v>14</v>
      </c>
      <c r="B10" s="1"/>
      <c r="C10" s="1"/>
      <c r="D10" s="1"/>
      <c r="E10" s="1"/>
      <c r="F10" s="1"/>
      <c r="G10" s="1"/>
      <c r="H10" s="1"/>
    </row>
    <row r="11" spans="1:8" x14ac:dyDescent="0.25">
      <c r="C11" s="4" t="s">
        <v>10</v>
      </c>
      <c r="D11" s="6">
        <f>[1]data_output!$B$5</f>
        <v>10000</v>
      </c>
      <c r="E11" s="6">
        <f>[1]data_output!$C$5</f>
        <v>7402</v>
      </c>
      <c r="F11" s="7">
        <f>[1]data_output!$D$5</f>
        <v>0.74019999999999997</v>
      </c>
      <c r="G11" s="8">
        <f>[1]data_output!$E$5</f>
        <v>3.94</v>
      </c>
      <c r="H11" s="8">
        <f>[1]data_output!$F$5</f>
        <v>4.1100000000000003</v>
      </c>
    </row>
    <row r="12" spans="1:8" x14ac:dyDescent="0.25">
      <c r="C12" s="4" t="s">
        <v>11</v>
      </c>
      <c r="D12" s="6">
        <f>[1]data_output!$B$6</f>
        <v>10000</v>
      </c>
      <c r="E12" s="6">
        <f>[1]data_output!$C$6</f>
        <v>4623</v>
      </c>
      <c r="F12" s="7">
        <f>[1]data_output!$D$6</f>
        <v>0.46229999999999999</v>
      </c>
      <c r="G12" s="8">
        <f>[1]data_output!$E$6</f>
        <v>4.13</v>
      </c>
      <c r="H12" s="8">
        <f>[1]data_output!$F$6</f>
        <v>4.24</v>
      </c>
    </row>
    <row r="13" spans="1:8" x14ac:dyDescent="0.25">
      <c r="C13" s="4" t="s">
        <v>12</v>
      </c>
      <c r="D13" s="6">
        <f>[1]data_output!$B$7</f>
        <v>10000</v>
      </c>
      <c r="E13" s="6">
        <f>[1]data_output!$C$7</f>
        <v>785</v>
      </c>
      <c r="F13" s="7">
        <f>[1]data_output!$D$7</f>
        <v>7.85E-2</v>
      </c>
      <c r="G13" s="8">
        <f>[1]data_output!$E$7</f>
        <v>4.3099999999999996</v>
      </c>
      <c r="H13" s="8">
        <f>[1]data_output!$F$7</f>
        <v>4.45</v>
      </c>
    </row>
    <row r="14" spans="1:8" x14ac:dyDescent="0.25">
      <c r="C14" s="4" t="s">
        <v>13</v>
      </c>
      <c r="D14" s="6">
        <f>[1]data_output!$B$8</f>
        <v>30000</v>
      </c>
      <c r="E14" s="6">
        <f>[1]data_output!$C$8</f>
        <v>12914</v>
      </c>
      <c r="F14" s="7">
        <f>[1]data_output!$D$8</f>
        <v>0.43049999999999999</v>
      </c>
      <c r="G14" s="8">
        <f>[1]data_output!$E$8</f>
        <v>4.03</v>
      </c>
      <c r="H14" s="8">
        <f>[1]data_output!$F$8</f>
        <v>4.18</v>
      </c>
    </row>
    <row r="16" spans="1:8" ht="20.25" customHeight="1" x14ac:dyDescent="0.25">
      <c r="A16" s="10" t="s">
        <v>15</v>
      </c>
      <c r="B16" s="10"/>
      <c r="C16" s="10"/>
      <c r="D16" s="10"/>
      <c r="E16" s="10"/>
      <c r="F16" s="10"/>
      <c r="G16" s="10"/>
      <c r="H16" s="10"/>
    </row>
    <row r="18" spans="1:8" x14ac:dyDescent="0.25">
      <c r="A18" t="str">
        <f>B4&amp;" - "&amp;B3</f>
        <v>James Mohler - TECH646</v>
      </c>
    </row>
    <row r="31" spans="1:8" ht="20.25" customHeight="1" x14ac:dyDescent="0.25">
      <c r="A31" s="10" t="s">
        <v>16</v>
      </c>
      <c r="B31" s="10"/>
      <c r="C31" s="10"/>
      <c r="D31" s="10"/>
      <c r="E31" s="10"/>
      <c r="F31" s="10"/>
      <c r="G31" s="10"/>
      <c r="H31" s="10"/>
    </row>
    <row r="33" spans="1:1" x14ac:dyDescent="0.25">
      <c r="A33" t="str">
        <f>B4&amp;" "&amp;" vs. "&amp;[1]data_output!$A$9&amp;" Departmental vs. College Instructor Ratings"</f>
        <v>James Mohler  vs. CGT Departmental vs. College Instructor Ratings</v>
      </c>
    </row>
  </sheetData>
  <mergeCells count="11">
    <mergeCell ref="A16:H16"/>
    <mergeCell ref="A31:H31"/>
    <mergeCell ref="A1:H1"/>
    <mergeCell ref="B2:C2"/>
    <mergeCell ref="B3:C3"/>
    <mergeCell ref="B4:C4"/>
    <mergeCell ref="D2:D3"/>
    <mergeCell ref="E2:E3"/>
    <mergeCell ref="F2:F3"/>
    <mergeCell ref="G2:G3"/>
    <mergeCell ref="H2:H3"/>
  </mergeCells>
  <printOptions horizontalCentered="1"/>
  <pageMargins left="0.5" right="0.5" top="0.75" bottom="0.75" header="0.3" footer="0.3"/>
  <pageSetup orientation="portrait" r:id="rId1"/>
  <headerFooter>
    <oddHeader>&amp;CCollege of Technology
Teaching Evaluation Analysis Report</oddHeader>
    <oddFooter>&amp;CGenerated in &amp;D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Report</vt:lpstr>
      <vt:lpstr>Report!Print_Area</vt:lpstr>
    </vt:vector>
  </TitlesOfParts>
  <Company>Purdue CGT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Zhou</dc:creator>
  <cp:lastModifiedBy>Zheng Zhou</cp:lastModifiedBy>
  <cp:lastPrinted>2014-04-04T19:48:17Z</cp:lastPrinted>
  <dcterms:created xsi:type="dcterms:W3CDTF">2014-04-03T16:59:14Z</dcterms:created>
  <dcterms:modified xsi:type="dcterms:W3CDTF">2014-04-04T23:17:19Z</dcterms:modified>
</cp:coreProperties>
</file>